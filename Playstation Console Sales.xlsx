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teg\Desktop\DD &amp; Python\Python 2025\Project II\"/>
    </mc:Choice>
  </mc:AlternateContent>
  <xr:revisionPtr revIDLastSave="0" documentId="13_ncr:1_{FF180C45-E1D8-4CD9-A70C-5B47B6BAA7E0}" xr6:coauthVersionLast="47" xr6:coauthVersionMax="47" xr10:uidLastSave="{00000000-0000-0000-0000-000000000000}"/>
  <bookViews>
    <workbookView xWindow="-30828" yWindow="3660" windowWidth="30936" windowHeight="16896" xr2:uid="{734E9699-5F6E-49CC-A028-21F0D35025EC}"/>
  </bookViews>
  <sheets>
    <sheet name="PS1 Sales" sheetId="6" r:id="rId1"/>
    <sheet name="PS2 Sales" sheetId="2" r:id="rId2"/>
    <sheet name="PS3 Sales" sheetId="3" r:id="rId3"/>
    <sheet name="PS4 Sales" sheetId="4" r:id="rId4"/>
    <sheet name="PS5 S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4" l="1"/>
  <c r="K8" i="4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6" i="4"/>
  <c r="K5" i="4"/>
  <c r="P7" i="5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6" i="5"/>
  <c r="P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5" i="5"/>
  <c r="E13" i="2"/>
  <c r="E6" i="2"/>
  <c r="M6" i="2" s="1"/>
  <c r="E7" i="2"/>
  <c r="M10" i="2" s="1"/>
  <c r="E8" i="2"/>
  <c r="E9" i="2"/>
  <c r="E10" i="2"/>
  <c r="E11" i="2"/>
  <c r="E1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5" i="2"/>
  <c r="J13" i="4"/>
  <c r="F4" i="6"/>
  <c r="F5" i="6"/>
  <c r="F6" i="6" s="1"/>
  <c r="F7" i="6" s="1"/>
  <c r="F8" i="6" s="1"/>
  <c r="F9" i="6" s="1"/>
  <c r="F10" i="6" s="1"/>
  <c r="F11" i="6" s="1"/>
  <c r="M3" i="2"/>
  <c r="N3" i="2" s="1"/>
  <c r="V6" i="5"/>
  <c r="V7" i="5" s="1"/>
  <c r="V8" i="5" s="1"/>
  <c r="V9" i="5" s="1"/>
  <c r="V5" i="5"/>
  <c r="V4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7" i="5"/>
  <c r="U5" i="5"/>
  <c r="U6" i="5"/>
  <c r="U7" i="5"/>
  <c r="U8" i="5"/>
  <c r="U9" i="5"/>
  <c r="U4" i="5"/>
  <c r="O6" i="5"/>
  <c r="O5" i="5"/>
  <c r="O6" i="4"/>
  <c r="O7" i="4"/>
  <c r="O8" i="4"/>
  <c r="O9" i="4"/>
  <c r="O10" i="4"/>
  <c r="O11" i="4"/>
  <c r="O12" i="4"/>
  <c r="O13" i="4"/>
  <c r="O5" i="4"/>
  <c r="P5" i="4" s="1"/>
  <c r="P6" i="4" s="1"/>
  <c r="P7" i="4" s="1"/>
  <c r="P8" i="4" s="1"/>
  <c r="J11" i="4"/>
  <c r="J12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6" i="4"/>
  <c r="J5" i="4"/>
  <c r="H8" i="4"/>
  <c r="J8" i="4" s="1"/>
  <c r="H9" i="4"/>
  <c r="J9" i="4" s="1"/>
  <c r="H10" i="4"/>
  <c r="J10" i="4" s="1"/>
  <c r="H7" i="4"/>
  <c r="J7" i="4" s="1"/>
  <c r="K4" i="2"/>
  <c r="K5" i="2" s="1"/>
  <c r="K6" i="2" s="1"/>
  <c r="K7" i="2" s="1"/>
  <c r="K8" i="2" s="1"/>
  <c r="K9" i="2" s="1"/>
  <c r="K10" i="2" s="1"/>
  <c r="K3" i="2"/>
  <c r="M4" i="2"/>
  <c r="M5" i="2"/>
  <c r="E15" i="3"/>
  <c r="E16" i="3"/>
  <c r="E17" i="3" s="1"/>
  <c r="E18" i="3" s="1"/>
  <c r="E19" i="3" s="1"/>
  <c r="E20" i="3" s="1"/>
  <c r="E21" i="3" s="1"/>
  <c r="E22" i="3" s="1"/>
  <c r="E23" i="3" s="1"/>
  <c r="E24" i="3" s="1"/>
  <c r="E25" i="3" s="1"/>
  <c r="E14" i="3"/>
  <c r="N8" i="3"/>
  <c r="N9" i="3" s="1"/>
  <c r="E4" i="2"/>
  <c r="E3" i="2"/>
  <c r="M9" i="2" l="1"/>
  <c r="M8" i="2"/>
  <c r="M7" i="2"/>
  <c r="P9" i="4"/>
  <c r="P10" i="4" s="1"/>
  <c r="P11" i="4" s="1"/>
  <c r="P12" i="4" s="1"/>
  <c r="P13" i="4" s="1"/>
  <c r="N4" i="2"/>
  <c r="N5" i="2" s="1"/>
  <c r="N6" i="2" s="1"/>
  <c r="N7" i="2" l="1"/>
  <c r="N8" i="2" s="1"/>
  <c r="N9" i="2" s="1"/>
  <c r="N10" i="2" s="1"/>
</calcChain>
</file>

<file path=xl/sharedStrings.xml><?xml version="1.0" encoding="utf-8"?>
<sst xmlns="http://schemas.openxmlformats.org/spreadsheetml/2006/main" count="153" uniqueCount="16">
  <si>
    <t>Q1</t>
  </si>
  <si>
    <t>Q2</t>
  </si>
  <si>
    <t>Q3</t>
  </si>
  <si>
    <t>Q4</t>
  </si>
  <si>
    <t>Cumulative Sales</t>
  </si>
  <si>
    <t>Cumulative</t>
  </si>
  <si>
    <t>Yearly Total Sales( in Millions)</t>
  </si>
  <si>
    <t>Yearly Sales</t>
  </si>
  <si>
    <t>Yearly Sales(Millions)</t>
  </si>
  <si>
    <t>FY</t>
  </si>
  <si>
    <t>–</t>
  </si>
  <si>
    <t>Quarterly Sales</t>
  </si>
  <si>
    <t>[Forecasted]</t>
  </si>
  <si>
    <t>Year</t>
  </si>
  <si>
    <t>Quarter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</si>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</sst>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5443</xdr:colOff>
      <xdr:row>1</xdr:row>
      <xdr:rowOff>174172</xdr:rowOff>
    </xdr:from>
    <xdr:to>
      <xdr:col>23</xdr:col>
      <xdr:colOff>410394</xdr:colOff>
      <xdr:row>23</xdr:row>
      <xdr:rowOff>1091</xdr:rowOff>
    </xdr:to>
    <xdr:pic>
      <xdr:nvPicPr>
        <xdr:cNvPr id="2" name="Picture 1" descr="Sony_consoles_shipments">
          <a:extLst>
            <a:ext uri="{FF2B5EF4-FFF2-40B4-BE49-F238E27FC236}">
              <a16:creationId xmlns:a16="http://schemas.microsoft.com/office/drawing/2014/main" id="{C12B4B6E-9263-D483-D0C6-3AE70804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5729" y="359229"/>
          <a:ext cx="5622471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0426-EE3F-4B87-8C00-61921FB30B00}">
  <dimension ref="D3:F11"/>
  <sheetViews>
    <sheetView tabSelected="1" zoomScale="95" zoomScaleNormal="95" workbookViewId="0">
      <selection activeCell="U30" sqref="U30"/>
    </sheetView>
  </sheetViews>
  <sheetFormatPr defaultRowHeight="14.6" x14ac:dyDescent="0.4"/>
  <cols>
    <col min="5" max="5" width="16.23046875" customWidth="1"/>
    <col min="6" max="6" width="14.23046875" customWidth="1"/>
  </cols>
  <sheetData>
    <row r="3" spans="4:6" x14ac:dyDescent="0.4">
      <c r="D3" t="s">
        <v>13</v>
      </c>
      <c r="E3" t="s">
        <v>7</v>
      </c>
      <c r="F3" t="s">
        <v>5</v>
      </c>
    </row>
    <row r="4" spans="4:6" x14ac:dyDescent="0.4">
      <c r="D4">
        <v>1995</v>
      </c>
      <c r="E4">
        <v>4.3</v>
      </c>
      <c r="F4">
        <f>E4</f>
        <v>4.3</v>
      </c>
    </row>
    <row r="5" spans="4:6" x14ac:dyDescent="0.4">
      <c r="D5">
        <v>1996</v>
      </c>
      <c r="E5">
        <v>9.1999999999999993</v>
      </c>
      <c r="F5">
        <f>E5</f>
        <v>9.1999999999999993</v>
      </c>
    </row>
    <row r="6" spans="4:6" x14ac:dyDescent="0.4">
      <c r="D6">
        <v>1997</v>
      </c>
      <c r="E6">
        <v>19.37</v>
      </c>
      <c r="F6">
        <f>E6+F5</f>
        <v>28.57</v>
      </c>
    </row>
    <row r="7" spans="4:6" x14ac:dyDescent="0.4">
      <c r="D7">
        <v>1998</v>
      </c>
      <c r="E7">
        <v>21.6</v>
      </c>
      <c r="F7">
        <f>F6+E7</f>
        <v>50.17</v>
      </c>
    </row>
    <row r="8" spans="4:6" x14ac:dyDescent="0.4">
      <c r="D8">
        <v>1999</v>
      </c>
      <c r="E8">
        <v>18.5</v>
      </c>
      <c r="F8">
        <f t="shared" ref="F8:F11" si="0">F7+E8</f>
        <v>68.67</v>
      </c>
    </row>
    <row r="9" spans="4:6" x14ac:dyDescent="0.4">
      <c r="D9">
        <v>2000</v>
      </c>
      <c r="E9">
        <v>18.510000000000002</v>
      </c>
      <c r="F9">
        <f t="shared" si="0"/>
        <v>87.18</v>
      </c>
    </row>
    <row r="10" spans="4:6" x14ac:dyDescent="0.4">
      <c r="D10">
        <v>2001</v>
      </c>
      <c r="E10">
        <v>9.31</v>
      </c>
      <c r="F10">
        <f t="shared" si="0"/>
        <v>96.490000000000009</v>
      </c>
    </row>
    <row r="11" spans="4:6" x14ac:dyDescent="0.4">
      <c r="D11">
        <v>2002</v>
      </c>
      <c r="E11">
        <v>7.4</v>
      </c>
      <c r="F11">
        <f t="shared" si="0"/>
        <v>103.89000000000001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6A9D-4FA7-44B2-A1EC-89A2703B421F}">
  <dimension ref="B2:N31"/>
  <sheetViews>
    <sheetView zoomScale="158" zoomScaleNormal="158" workbookViewId="0">
      <selection activeCell="M14" sqref="M14"/>
    </sheetView>
  </sheetViews>
  <sheetFormatPr defaultRowHeight="14.6" x14ac:dyDescent="0.4"/>
  <cols>
    <col min="3" max="3" width="11.921875" customWidth="1"/>
    <col min="4" max="4" width="19.07421875" customWidth="1"/>
    <col min="5" max="5" width="13.84375" customWidth="1"/>
    <col min="11" max="11" width="12" customWidth="1"/>
    <col min="12" max="12" width="11.61328125" customWidth="1"/>
    <col min="13" max="13" width="18.23046875" bestFit="1" customWidth="1"/>
    <col min="14" max="14" width="14.921875" bestFit="1" customWidth="1"/>
  </cols>
  <sheetData>
    <row r="2" spans="2:14" x14ac:dyDescent="0.4">
      <c r="B2" t="s">
        <v>13</v>
      </c>
      <c r="C2" t="s">
        <v>14</v>
      </c>
      <c r="D2" t="s">
        <v>4</v>
      </c>
      <c r="E2" t="s">
        <v>11</v>
      </c>
      <c r="K2" t="s">
        <v>13</v>
      </c>
      <c r="L2" t="s">
        <v>15</v>
      </c>
      <c r="M2" t="s">
        <v>8</v>
      </c>
      <c r="N2" t="s">
        <v>4</v>
      </c>
    </row>
    <row r="3" spans="2:14" x14ac:dyDescent="0.4">
      <c r="B3">
        <v>2000</v>
      </c>
      <c r="C3" s="1" t="s">
        <v>0</v>
      </c>
      <c r="D3">
        <v>2.9</v>
      </c>
      <c r="E3">
        <f>D3</f>
        <v>2.9</v>
      </c>
      <c r="K3">
        <f>1</f>
        <v>1</v>
      </c>
      <c r="L3">
        <v>2000</v>
      </c>
      <c r="M3">
        <f ca="1">SUMIF($B$3:$E$31,L3,$E$3:$E$31)</f>
        <v>24.9</v>
      </c>
      <c r="N3">
        <f ca="1">M3</f>
        <v>24.9</v>
      </c>
    </row>
    <row r="4" spans="2:14" x14ac:dyDescent="0.4">
      <c r="B4">
        <v>2000</v>
      </c>
      <c r="C4" s="1" t="s">
        <v>1</v>
      </c>
      <c r="D4">
        <v>4.5999999999999996</v>
      </c>
      <c r="E4">
        <f>D4-D3</f>
        <v>1.6999999999999997</v>
      </c>
      <c r="K4">
        <f>K3+1</f>
        <v>2</v>
      </c>
      <c r="L4">
        <v>2001</v>
      </c>
      <c r="M4">
        <f t="shared" ref="M4:M10" ca="1" si="0">SUMIF($B$3:$E$31,L4,$E$3:$E$31)</f>
        <v>100.30000000000001</v>
      </c>
      <c r="N4">
        <f ca="1">M4+N3</f>
        <v>125.20000000000002</v>
      </c>
    </row>
    <row r="5" spans="2:14" x14ac:dyDescent="0.4">
      <c r="B5">
        <v>2000</v>
      </c>
      <c r="C5" s="1" t="s">
        <v>2</v>
      </c>
      <c r="D5">
        <v>8</v>
      </c>
      <c r="E5">
        <f>D5-D4</f>
        <v>3.4000000000000004</v>
      </c>
      <c r="K5">
        <f t="shared" ref="K5:K10" si="1">K4+1</f>
        <v>3</v>
      </c>
      <c r="L5">
        <v>2002</v>
      </c>
      <c r="M5">
        <f t="shared" ca="1" si="0"/>
        <v>182.8</v>
      </c>
      <c r="N5">
        <f t="shared" ref="N5:N10" ca="1" si="2">M5+N4</f>
        <v>308</v>
      </c>
    </row>
    <row r="6" spans="2:14" x14ac:dyDescent="0.4">
      <c r="B6">
        <v>2000</v>
      </c>
      <c r="C6" s="1" t="s">
        <v>3</v>
      </c>
      <c r="D6">
        <v>24.9</v>
      </c>
      <c r="E6">
        <f t="shared" ref="E6:E31" si="3">D6-D5</f>
        <v>16.899999999999999</v>
      </c>
      <c r="K6">
        <f t="shared" si="1"/>
        <v>4</v>
      </c>
      <c r="L6">
        <v>2003</v>
      </c>
      <c r="M6">
        <f t="shared" ca="1" si="0"/>
        <v>221</v>
      </c>
      <c r="N6">
        <f t="shared" ca="1" si="2"/>
        <v>529</v>
      </c>
    </row>
    <row r="7" spans="2:14" x14ac:dyDescent="0.4">
      <c r="B7">
        <v>2001</v>
      </c>
      <c r="C7" s="1" t="s">
        <v>0</v>
      </c>
      <c r="D7">
        <v>38.299999999999997</v>
      </c>
      <c r="E7">
        <f t="shared" si="3"/>
        <v>13.399999999999999</v>
      </c>
      <c r="K7">
        <f t="shared" si="1"/>
        <v>5</v>
      </c>
      <c r="L7">
        <v>2004</v>
      </c>
      <c r="M7">
        <f t="shared" ca="1" si="0"/>
        <v>246</v>
      </c>
      <c r="N7">
        <f t="shared" ca="1" si="2"/>
        <v>775</v>
      </c>
    </row>
    <row r="8" spans="2:14" x14ac:dyDescent="0.4">
      <c r="B8">
        <v>2001</v>
      </c>
      <c r="C8" s="1" t="s">
        <v>1</v>
      </c>
      <c r="D8">
        <v>49.8</v>
      </c>
      <c r="E8">
        <f t="shared" si="3"/>
        <v>11.5</v>
      </c>
      <c r="K8">
        <f t="shared" si="1"/>
        <v>6</v>
      </c>
      <c r="L8">
        <v>2005</v>
      </c>
      <c r="M8">
        <f t="shared" ca="1" si="0"/>
        <v>227</v>
      </c>
      <c r="N8">
        <f t="shared" ca="1" si="2"/>
        <v>1002</v>
      </c>
    </row>
    <row r="9" spans="2:14" x14ac:dyDescent="0.4">
      <c r="B9">
        <v>2001</v>
      </c>
      <c r="C9" s="1" t="s">
        <v>2</v>
      </c>
      <c r="D9">
        <v>72.5</v>
      </c>
      <c r="E9">
        <f t="shared" si="3"/>
        <v>22.700000000000003</v>
      </c>
      <c r="K9">
        <f t="shared" si="1"/>
        <v>7</v>
      </c>
      <c r="L9">
        <v>2006</v>
      </c>
      <c r="M9">
        <f t="shared" ca="1" si="0"/>
        <v>203</v>
      </c>
      <c r="N9">
        <f t="shared" ca="1" si="2"/>
        <v>1205</v>
      </c>
    </row>
    <row r="10" spans="2:14" x14ac:dyDescent="0.4">
      <c r="B10">
        <v>2001</v>
      </c>
      <c r="C10" s="1" t="s">
        <v>3</v>
      </c>
      <c r="D10">
        <v>125.2</v>
      </c>
      <c r="E10">
        <f t="shared" si="3"/>
        <v>52.7</v>
      </c>
      <c r="K10">
        <f t="shared" si="1"/>
        <v>8</v>
      </c>
      <c r="L10">
        <v>2007</v>
      </c>
      <c r="M10">
        <f t="shared" ca="1" si="0"/>
        <v>35</v>
      </c>
      <c r="N10">
        <f t="shared" ca="1" si="2"/>
        <v>1240</v>
      </c>
    </row>
    <row r="11" spans="2:14" x14ac:dyDescent="0.4">
      <c r="B11">
        <v>2002</v>
      </c>
      <c r="C11" s="1" t="s">
        <v>0</v>
      </c>
      <c r="D11">
        <v>160.1</v>
      </c>
      <c r="E11">
        <f t="shared" si="3"/>
        <v>34.899999999999991</v>
      </c>
    </row>
    <row r="12" spans="2:14" x14ac:dyDescent="0.4">
      <c r="B12">
        <v>2002</v>
      </c>
      <c r="C12" s="1" t="s">
        <v>1</v>
      </c>
      <c r="D12">
        <v>187</v>
      </c>
      <c r="E12">
        <f t="shared" si="3"/>
        <v>26.900000000000006</v>
      </c>
    </row>
    <row r="13" spans="2:14" x14ac:dyDescent="0.4">
      <c r="B13">
        <v>2002</v>
      </c>
      <c r="C13" s="1" t="s">
        <v>2</v>
      </c>
      <c r="D13">
        <v>229</v>
      </c>
      <c r="E13">
        <f>D13-D12</f>
        <v>42</v>
      </c>
    </row>
    <row r="14" spans="2:14" x14ac:dyDescent="0.4">
      <c r="B14">
        <v>2002</v>
      </c>
      <c r="C14" s="1" t="s">
        <v>3</v>
      </c>
      <c r="D14">
        <v>308</v>
      </c>
      <c r="E14">
        <f t="shared" si="3"/>
        <v>79</v>
      </c>
    </row>
    <row r="15" spans="2:14" x14ac:dyDescent="0.4">
      <c r="B15">
        <v>2003</v>
      </c>
      <c r="C15" s="1" t="s">
        <v>0</v>
      </c>
      <c r="D15">
        <v>350</v>
      </c>
      <c r="E15">
        <f t="shared" si="3"/>
        <v>42</v>
      </c>
    </row>
    <row r="16" spans="2:14" x14ac:dyDescent="0.4">
      <c r="B16">
        <v>2003</v>
      </c>
      <c r="C16" s="1" t="s">
        <v>1</v>
      </c>
      <c r="D16">
        <v>381</v>
      </c>
      <c r="E16">
        <f t="shared" si="3"/>
        <v>31</v>
      </c>
    </row>
    <row r="17" spans="2:5" x14ac:dyDescent="0.4">
      <c r="B17">
        <v>2003</v>
      </c>
      <c r="C17" s="1" t="s">
        <v>2</v>
      </c>
      <c r="D17">
        <v>425</v>
      </c>
      <c r="E17">
        <f t="shared" si="3"/>
        <v>44</v>
      </c>
    </row>
    <row r="18" spans="2:5" x14ac:dyDescent="0.4">
      <c r="B18">
        <v>2003</v>
      </c>
      <c r="C18" s="1" t="s">
        <v>3</v>
      </c>
      <c r="D18">
        <v>529</v>
      </c>
      <c r="E18">
        <f t="shared" si="3"/>
        <v>104</v>
      </c>
    </row>
    <row r="19" spans="2:5" x14ac:dyDescent="0.4">
      <c r="B19">
        <v>2004</v>
      </c>
      <c r="C19" s="1" t="s">
        <v>0</v>
      </c>
      <c r="D19">
        <v>572</v>
      </c>
      <c r="E19">
        <f t="shared" si="3"/>
        <v>43</v>
      </c>
    </row>
    <row r="20" spans="2:5" x14ac:dyDescent="0.4">
      <c r="B20">
        <v>2004</v>
      </c>
      <c r="C20" s="1" t="s">
        <v>1</v>
      </c>
      <c r="D20">
        <v>610</v>
      </c>
      <c r="E20">
        <f t="shared" si="3"/>
        <v>38</v>
      </c>
    </row>
    <row r="21" spans="2:5" x14ac:dyDescent="0.4">
      <c r="B21">
        <v>2004</v>
      </c>
      <c r="C21" s="1" t="s">
        <v>2</v>
      </c>
      <c r="D21">
        <v>666</v>
      </c>
      <c r="E21">
        <f t="shared" si="3"/>
        <v>56</v>
      </c>
    </row>
    <row r="22" spans="2:5" x14ac:dyDescent="0.4">
      <c r="B22">
        <v>2004</v>
      </c>
      <c r="C22" s="1" t="s">
        <v>3</v>
      </c>
      <c r="D22">
        <v>775</v>
      </c>
      <c r="E22">
        <f t="shared" si="3"/>
        <v>109</v>
      </c>
    </row>
    <row r="23" spans="2:5" x14ac:dyDescent="0.4">
      <c r="B23">
        <v>2005</v>
      </c>
      <c r="C23" s="1" t="s">
        <v>0</v>
      </c>
      <c r="D23">
        <v>824</v>
      </c>
      <c r="E23">
        <f t="shared" si="3"/>
        <v>49</v>
      </c>
    </row>
    <row r="24" spans="2:5" x14ac:dyDescent="0.4">
      <c r="B24">
        <v>2005</v>
      </c>
      <c r="C24" s="1" t="s">
        <v>1</v>
      </c>
      <c r="D24">
        <v>859</v>
      </c>
      <c r="E24">
        <f t="shared" si="3"/>
        <v>35</v>
      </c>
    </row>
    <row r="25" spans="2:5" x14ac:dyDescent="0.4">
      <c r="B25">
        <v>2005</v>
      </c>
      <c r="C25" s="1" t="s">
        <v>2</v>
      </c>
      <c r="D25">
        <v>909</v>
      </c>
      <c r="E25">
        <f t="shared" si="3"/>
        <v>50</v>
      </c>
    </row>
    <row r="26" spans="2:5" x14ac:dyDescent="0.4">
      <c r="B26">
        <v>2005</v>
      </c>
      <c r="C26" s="1" t="s">
        <v>3</v>
      </c>
      <c r="D26">
        <v>1002</v>
      </c>
      <c r="E26">
        <f t="shared" si="3"/>
        <v>93</v>
      </c>
    </row>
    <row r="27" spans="2:5" x14ac:dyDescent="0.4">
      <c r="B27">
        <v>2006</v>
      </c>
      <c r="C27" s="1" t="s">
        <v>0</v>
      </c>
      <c r="D27">
        <v>1047</v>
      </c>
      <c r="E27">
        <f t="shared" si="3"/>
        <v>45</v>
      </c>
    </row>
    <row r="28" spans="2:5" x14ac:dyDescent="0.4">
      <c r="B28">
        <v>2006</v>
      </c>
      <c r="C28" s="1" t="s">
        <v>1</v>
      </c>
      <c r="D28">
        <v>1080</v>
      </c>
      <c r="E28">
        <f t="shared" si="3"/>
        <v>33</v>
      </c>
    </row>
    <row r="29" spans="2:5" x14ac:dyDescent="0.4">
      <c r="B29">
        <v>2006</v>
      </c>
      <c r="C29" s="1" t="s">
        <v>2</v>
      </c>
      <c r="D29">
        <v>1127</v>
      </c>
      <c r="E29">
        <f t="shared" si="3"/>
        <v>47</v>
      </c>
    </row>
    <row r="30" spans="2:5" x14ac:dyDescent="0.4">
      <c r="B30">
        <v>2006</v>
      </c>
      <c r="C30" s="1" t="s">
        <v>3</v>
      </c>
      <c r="D30">
        <v>1205</v>
      </c>
      <c r="E30">
        <f t="shared" si="3"/>
        <v>78</v>
      </c>
    </row>
    <row r="31" spans="2:5" x14ac:dyDescent="0.4">
      <c r="B31">
        <v>2007</v>
      </c>
      <c r="C31" s="1" t="s">
        <v>0</v>
      </c>
      <c r="D31">
        <v>1240</v>
      </c>
      <c r="E31">
        <f t="shared" si="3"/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AAD5-E9A6-4636-BB80-BA2AB779EFE9}">
  <dimension ref="B2:N25"/>
  <sheetViews>
    <sheetView zoomScale="112" zoomScaleNormal="112" workbookViewId="0">
      <selection activeCell="E32" sqref="E32"/>
    </sheetView>
  </sheetViews>
  <sheetFormatPr defaultRowHeight="14.6" x14ac:dyDescent="0.4"/>
  <cols>
    <col min="3" max="3" width="16.15234375" customWidth="1"/>
    <col min="4" max="4" width="22.69140625" customWidth="1"/>
    <col min="5" max="5" width="19" customWidth="1"/>
    <col min="13" max="13" width="24.84375" bestFit="1" customWidth="1"/>
    <col min="14" max="14" width="11.15234375" bestFit="1" customWidth="1"/>
  </cols>
  <sheetData>
    <row r="2" spans="2:14" ht="19.75" customHeight="1" x14ac:dyDescent="0.4"/>
    <row r="3" spans="2:14" x14ac:dyDescent="0.4">
      <c r="B3" t="s">
        <v>13</v>
      </c>
      <c r="C3" t="s">
        <v>14</v>
      </c>
      <c r="D3" t="s">
        <v>11</v>
      </c>
      <c r="E3" t="s">
        <v>4</v>
      </c>
    </row>
    <row r="4" spans="2:14" x14ac:dyDescent="0.4">
      <c r="B4">
        <v>2006</v>
      </c>
      <c r="C4" t="s">
        <v>2</v>
      </c>
      <c r="D4">
        <v>1.68</v>
      </c>
      <c r="E4">
        <v>1.68</v>
      </c>
      <c r="K4" t="s">
        <v>13</v>
      </c>
      <c r="L4" t="s">
        <v>15</v>
      </c>
      <c r="M4" t="s">
        <v>6</v>
      </c>
      <c r="N4" t="s">
        <v>5</v>
      </c>
    </row>
    <row r="5" spans="2:14" x14ac:dyDescent="0.4">
      <c r="B5">
        <v>2006</v>
      </c>
      <c r="C5" t="s">
        <v>3</v>
      </c>
      <c r="D5">
        <v>1.93</v>
      </c>
      <c r="E5">
        <v>3.61</v>
      </c>
      <c r="K5">
        <v>1</v>
      </c>
      <c r="L5">
        <v>2007</v>
      </c>
      <c r="M5">
        <v>3.61</v>
      </c>
      <c r="N5">
        <v>3.61</v>
      </c>
    </row>
    <row r="6" spans="2:14" x14ac:dyDescent="0.4">
      <c r="B6">
        <v>2007</v>
      </c>
      <c r="C6" t="s">
        <v>0</v>
      </c>
      <c r="D6">
        <v>0.71</v>
      </c>
      <c r="E6">
        <v>4.32</v>
      </c>
      <c r="K6">
        <v>2</v>
      </c>
      <c r="L6">
        <v>2008</v>
      </c>
      <c r="M6">
        <v>9.24</v>
      </c>
      <c r="N6">
        <v>12.85</v>
      </c>
    </row>
    <row r="7" spans="2:14" x14ac:dyDescent="0.4">
      <c r="B7">
        <v>2007</v>
      </c>
      <c r="C7" t="s">
        <v>1</v>
      </c>
      <c r="D7">
        <v>1.31</v>
      </c>
      <c r="E7">
        <v>5.63</v>
      </c>
      <c r="K7">
        <v>3</v>
      </c>
      <c r="L7">
        <v>2009</v>
      </c>
      <c r="M7">
        <v>10.06</v>
      </c>
      <c r="N7">
        <v>22.91</v>
      </c>
    </row>
    <row r="8" spans="2:14" x14ac:dyDescent="0.4">
      <c r="B8">
        <v>2007</v>
      </c>
      <c r="C8" t="s">
        <v>2</v>
      </c>
      <c r="D8">
        <v>4.9000000000000004</v>
      </c>
      <c r="E8">
        <v>10.53</v>
      </c>
      <c r="K8">
        <v>4</v>
      </c>
      <c r="L8">
        <v>2010</v>
      </c>
      <c r="M8">
        <v>13</v>
      </c>
      <c r="N8">
        <f>M8+N7</f>
        <v>35.909999999999997</v>
      </c>
    </row>
    <row r="9" spans="2:14" x14ac:dyDescent="0.4">
      <c r="B9">
        <v>2007</v>
      </c>
      <c r="C9" t="s">
        <v>3</v>
      </c>
      <c r="D9">
        <v>2.33</v>
      </c>
      <c r="E9">
        <v>12.85</v>
      </c>
      <c r="K9">
        <v>5</v>
      </c>
      <c r="L9">
        <v>2011</v>
      </c>
      <c r="M9">
        <v>14.3</v>
      </c>
      <c r="N9">
        <f>N8+M9</f>
        <v>50.209999999999994</v>
      </c>
    </row>
    <row r="10" spans="2:14" x14ac:dyDescent="0.4">
      <c r="B10">
        <v>2008</v>
      </c>
      <c r="C10" t="s">
        <v>0</v>
      </c>
      <c r="D10">
        <v>1.56</v>
      </c>
      <c r="E10">
        <v>14.41</v>
      </c>
      <c r="K10">
        <v>6</v>
      </c>
      <c r="L10">
        <v>2012</v>
      </c>
      <c r="M10">
        <v>13.9</v>
      </c>
      <c r="N10">
        <v>63.9</v>
      </c>
    </row>
    <row r="11" spans="2:14" x14ac:dyDescent="0.4">
      <c r="B11">
        <v>2008</v>
      </c>
      <c r="C11" t="s">
        <v>1</v>
      </c>
      <c r="D11">
        <v>2.4300000000000002</v>
      </c>
      <c r="E11">
        <v>16.84</v>
      </c>
    </row>
    <row r="12" spans="2:14" x14ac:dyDescent="0.4">
      <c r="B12">
        <v>2008</v>
      </c>
      <c r="C12" t="s">
        <v>2</v>
      </c>
      <c r="D12">
        <v>4.46</v>
      </c>
      <c r="E12">
        <v>21.3</v>
      </c>
    </row>
    <row r="13" spans="2:14" x14ac:dyDescent="0.4">
      <c r="B13">
        <v>2008</v>
      </c>
      <c r="C13" t="s">
        <v>3</v>
      </c>
      <c r="D13">
        <v>1.61</v>
      </c>
      <c r="E13">
        <v>22.91</v>
      </c>
    </row>
    <row r="14" spans="2:14" x14ac:dyDescent="0.4">
      <c r="B14">
        <v>2009</v>
      </c>
      <c r="C14" t="s">
        <v>0</v>
      </c>
      <c r="D14">
        <v>1.1000000000000001</v>
      </c>
      <c r="E14">
        <f>E13+D14</f>
        <v>24.01</v>
      </c>
    </row>
    <row r="15" spans="2:14" x14ac:dyDescent="0.4">
      <c r="B15">
        <v>2009</v>
      </c>
      <c r="C15" t="s">
        <v>1</v>
      </c>
      <c r="D15">
        <v>3.2</v>
      </c>
      <c r="E15">
        <f t="shared" ref="E15:E25" si="0">E14+D15</f>
        <v>27.21</v>
      </c>
    </row>
    <row r="16" spans="2:14" x14ac:dyDescent="0.4">
      <c r="B16">
        <v>2009</v>
      </c>
      <c r="C16" t="s">
        <v>2</v>
      </c>
      <c r="D16">
        <v>6.5</v>
      </c>
      <c r="E16">
        <f t="shared" si="0"/>
        <v>33.71</v>
      </c>
    </row>
    <row r="17" spans="2:5" x14ac:dyDescent="0.4">
      <c r="B17">
        <v>2009</v>
      </c>
      <c r="C17" t="s">
        <v>3</v>
      </c>
      <c r="D17">
        <v>2.2000000000000002</v>
      </c>
      <c r="E17">
        <f t="shared" si="0"/>
        <v>35.910000000000004</v>
      </c>
    </row>
    <row r="18" spans="2:5" x14ac:dyDescent="0.4">
      <c r="B18">
        <v>2010</v>
      </c>
      <c r="C18" t="s">
        <v>0</v>
      </c>
      <c r="D18">
        <v>2.4</v>
      </c>
      <c r="E18">
        <f t="shared" si="0"/>
        <v>38.31</v>
      </c>
    </row>
    <row r="19" spans="2:5" x14ac:dyDescent="0.4">
      <c r="B19">
        <v>2010</v>
      </c>
      <c r="C19" t="s">
        <v>1</v>
      </c>
      <c r="D19">
        <v>3.5</v>
      </c>
      <c r="E19">
        <f t="shared" si="0"/>
        <v>41.81</v>
      </c>
    </row>
    <row r="20" spans="2:5" x14ac:dyDescent="0.4">
      <c r="B20">
        <v>2010</v>
      </c>
      <c r="C20" t="s">
        <v>2</v>
      </c>
      <c r="D20">
        <v>6.3</v>
      </c>
      <c r="E20">
        <f t="shared" si="0"/>
        <v>48.11</v>
      </c>
    </row>
    <row r="21" spans="2:5" x14ac:dyDescent="0.4">
      <c r="B21">
        <v>2010</v>
      </c>
      <c r="C21" t="s">
        <v>3</v>
      </c>
      <c r="D21">
        <v>2.1</v>
      </c>
      <c r="E21">
        <f t="shared" si="0"/>
        <v>50.21</v>
      </c>
    </row>
    <row r="22" spans="2:5" x14ac:dyDescent="0.4">
      <c r="B22">
        <v>2011</v>
      </c>
      <c r="C22" t="s">
        <v>0</v>
      </c>
      <c r="D22">
        <v>1.8</v>
      </c>
      <c r="E22">
        <f t="shared" si="0"/>
        <v>52.01</v>
      </c>
    </row>
    <row r="23" spans="2:5" x14ac:dyDescent="0.4">
      <c r="B23">
        <v>2011</v>
      </c>
      <c r="C23" t="s">
        <v>1</v>
      </c>
      <c r="D23">
        <v>3.7</v>
      </c>
      <c r="E23">
        <f t="shared" si="0"/>
        <v>55.71</v>
      </c>
    </row>
    <row r="24" spans="2:5" x14ac:dyDescent="0.4">
      <c r="B24">
        <v>2011</v>
      </c>
      <c r="C24" t="s">
        <v>2</v>
      </c>
      <c r="D24">
        <v>6.5</v>
      </c>
      <c r="E24">
        <f t="shared" si="0"/>
        <v>62.21</v>
      </c>
    </row>
    <row r="25" spans="2:5" x14ac:dyDescent="0.4">
      <c r="B25">
        <v>2011</v>
      </c>
      <c r="C25" t="s">
        <v>3</v>
      </c>
      <c r="D25">
        <v>1.9</v>
      </c>
      <c r="E25">
        <f t="shared" si="0"/>
        <v>64.11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6168-9FEA-4760-8E89-B8A4341CFF15}">
  <dimension ref="A4:P38"/>
  <sheetViews>
    <sheetView zoomScale="157" zoomScaleNormal="157" workbookViewId="0">
      <selection activeCell="B3" sqref="B3"/>
    </sheetView>
  </sheetViews>
  <sheetFormatPr defaultRowHeight="14.6" x14ac:dyDescent="0.4"/>
  <cols>
    <col min="1" max="1" width="6" bestFit="1" customWidth="1"/>
    <col min="2" max="2" width="14.53515625" customWidth="1"/>
    <col min="10" max="10" width="22.4609375" customWidth="1"/>
    <col min="11" max="11" width="13.84375" customWidth="1"/>
    <col min="15" max="15" width="10.61328125" bestFit="1" customWidth="1"/>
    <col min="16" max="16" width="14.921875" bestFit="1" customWidth="1"/>
  </cols>
  <sheetData>
    <row r="4" spans="1:16" x14ac:dyDescent="0.4">
      <c r="A4" s="2"/>
      <c r="B4" s="3" t="s">
        <v>0</v>
      </c>
      <c r="C4" s="3" t="s">
        <v>1</v>
      </c>
      <c r="D4" s="3" t="s">
        <v>2</v>
      </c>
      <c r="E4" s="3" t="s">
        <v>3</v>
      </c>
      <c r="F4" s="3" t="s">
        <v>9</v>
      </c>
      <c r="H4" s="3" t="s">
        <v>13</v>
      </c>
      <c r="I4" s="3" t="s">
        <v>14</v>
      </c>
      <c r="J4" t="s">
        <v>11</v>
      </c>
      <c r="K4" t="s">
        <v>4</v>
      </c>
      <c r="M4" t="s">
        <v>13</v>
      </c>
      <c r="N4" t="s">
        <v>15</v>
      </c>
      <c r="O4" t="s">
        <v>7</v>
      </c>
      <c r="P4" t="s">
        <v>4</v>
      </c>
    </row>
    <row r="5" spans="1:16" x14ac:dyDescent="0.4">
      <c r="A5" s="4">
        <v>2013</v>
      </c>
      <c r="B5" t="s">
        <v>10</v>
      </c>
      <c r="C5" t="s">
        <v>10</v>
      </c>
      <c r="D5">
        <v>4.5</v>
      </c>
      <c r="E5">
        <v>3.1</v>
      </c>
      <c r="F5">
        <v>7.6</v>
      </c>
      <c r="H5">
        <v>2013</v>
      </c>
      <c r="I5" t="s">
        <v>2</v>
      </c>
      <c r="J5">
        <f>D5</f>
        <v>4.5</v>
      </c>
      <c r="K5">
        <f>J5</f>
        <v>4.5</v>
      </c>
      <c r="M5">
        <v>1</v>
      </c>
      <c r="N5">
        <v>2013</v>
      </c>
      <c r="O5">
        <f>F5</f>
        <v>7.6</v>
      </c>
      <c r="P5">
        <f>O5</f>
        <v>7.6</v>
      </c>
    </row>
    <row r="6" spans="1:16" x14ac:dyDescent="0.4">
      <c r="A6" s="3">
        <v>2014</v>
      </c>
      <c r="B6">
        <v>2.8</v>
      </c>
      <c r="C6">
        <v>3.4</v>
      </c>
      <c r="D6">
        <v>6.4</v>
      </c>
      <c r="E6">
        <v>2.2999999999999998</v>
      </c>
      <c r="F6">
        <v>14.8</v>
      </c>
      <c r="H6">
        <v>2013</v>
      </c>
      <c r="I6" t="s">
        <v>3</v>
      </c>
      <c r="J6">
        <f>E5</f>
        <v>3.1</v>
      </c>
      <c r="K6">
        <f>K5+J6</f>
        <v>7.6</v>
      </c>
      <c r="M6">
        <v>2</v>
      </c>
      <c r="N6">
        <v>2014</v>
      </c>
      <c r="O6">
        <f t="shared" ref="O6:O13" si="0">F6</f>
        <v>14.8</v>
      </c>
      <c r="P6">
        <f>P5+O6</f>
        <v>22.4</v>
      </c>
    </row>
    <row r="7" spans="1:16" x14ac:dyDescent="0.4">
      <c r="A7" s="4">
        <v>2015</v>
      </c>
      <c r="B7">
        <v>2.9</v>
      </c>
      <c r="C7">
        <v>4</v>
      </c>
      <c r="D7">
        <v>8.4</v>
      </c>
      <c r="E7">
        <v>2.4</v>
      </c>
      <c r="F7">
        <v>17.7</v>
      </c>
      <c r="H7">
        <f>2014</f>
        <v>2014</v>
      </c>
      <c r="I7" t="s">
        <v>0</v>
      </c>
      <c r="J7">
        <f>INDEX($B$5:$E$13,MATCH(H7,$A$5:$A$13,0),MATCH(I7,$B$4:$E$4,0))</f>
        <v>2.8</v>
      </c>
      <c r="K7">
        <f t="shared" ref="K7:K38" si="1">K6+J7</f>
        <v>10.399999999999999</v>
      </c>
      <c r="M7">
        <v>3</v>
      </c>
      <c r="N7">
        <v>2015</v>
      </c>
      <c r="O7">
        <f t="shared" si="0"/>
        <v>17.7</v>
      </c>
      <c r="P7">
        <f t="shared" ref="P7:P13" si="2">P6+O7</f>
        <v>40.099999999999994</v>
      </c>
    </row>
    <row r="8" spans="1:16" x14ac:dyDescent="0.4">
      <c r="A8" s="3">
        <v>2016</v>
      </c>
      <c r="B8">
        <v>3.5</v>
      </c>
      <c r="C8">
        <v>3.9</v>
      </c>
      <c r="D8">
        <v>9.6999999999999993</v>
      </c>
      <c r="E8">
        <v>2.9</v>
      </c>
      <c r="F8">
        <v>20</v>
      </c>
      <c r="H8">
        <f>2014</f>
        <v>2014</v>
      </c>
      <c r="I8" t="s">
        <v>1</v>
      </c>
      <c r="J8">
        <f>INDEX($B$5:$E$13,MATCH(H8,$A$5:$A$13,0),MATCH(I8,$B$4:$E$4,0))</f>
        <v>3.4</v>
      </c>
      <c r="K8">
        <f t="shared" si="1"/>
        <v>13.799999999999999</v>
      </c>
      <c r="M8">
        <v>4</v>
      </c>
      <c r="N8">
        <v>2016</v>
      </c>
      <c r="O8">
        <f t="shared" si="0"/>
        <v>20</v>
      </c>
      <c r="P8">
        <f t="shared" si="2"/>
        <v>60.099999999999994</v>
      </c>
    </row>
    <row r="9" spans="1:16" x14ac:dyDescent="0.4">
      <c r="A9" s="4">
        <v>2017</v>
      </c>
      <c r="B9">
        <v>3.3</v>
      </c>
      <c r="C9">
        <v>4.2</v>
      </c>
      <c r="D9">
        <v>9</v>
      </c>
      <c r="E9">
        <v>2.5</v>
      </c>
      <c r="F9">
        <v>19</v>
      </c>
      <c r="H9">
        <f>2014</f>
        <v>2014</v>
      </c>
      <c r="I9" t="s">
        <v>2</v>
      </c>
      <c r="J9">
        <f t="shared" ref="J9:J38" si="3">INDEX($B$5:$E$13,MATCH(H9,$A$5:$A$13,0),MATCH(I9,$B$4:$E$4,0))</f>
        <v>6.4</v>
      </c>
      <c r="K9">
        <f t="shared" si="1"/>
        <v>20.2</v>
      </c>
      <c r="M9">
        <v>5</v>
      </c>
      <c r="N9">
        <v>2017</v>
      </c>
      <c r="O9">
        <f t="shared" si="0"/>
        <v>19</v>
      </c>
      <c r="P9">
        <f t="shared" si="2"/>
        <v>79.099999999999994</v>
      </c>
    </row>
    <row r="10" spans="1:16" x14ac:dyDescent="0.4">
      <c r="A10" s="3">
        <v>2018</v>
      </c>
      <c r="B10">
        <v>3.2</v>
      </c>
      <c r="C10">
        <v>3.9</v>
      </c>
      <c r="D10">
        <v>8.1</v>
      </c>
      <c r="E10">
        <v>2.6</v>
      </c>
      <c r="F10">
        <v>17.8</v>
      </c>
      <c r="H10">
        <f>2014</f>
        <v>2014</v>
      </c>
      <c r="I10" t="s">
        <v>3</v>
      </c>
      <c r="J10">
        <f t="shared" si="3"/>
        <v>2.2999999999999998</v>
      </c>
      <c r="K10">
        <f t="shared" si="1"/>
        <v>22.5</v>
      </c>
      <c r="M10">
        <v>6</v>
      </c>
      <c r="N10">
        <v>2018</v>
      </c>
      <c r="O10">
        <f t="shared" si="0"/>
        <v>17.8</v>
      </c>
      <c r="P10">
        <f t="shared" si="2"/>
        <v>96.899999999999991</v>
      </c>
    </row>
    <row r="11" spans="1:16" x14ac:dyDescent="0.4">
      <c r="A11" s="4">
        <v>2019</v>
      </c>
      <c r="B11">
        <v>3.2</v>
      </c>
      <c r="C11">
        <v>2.8</v>
      </c>
      <c r="D11">
        <v>6</v>
      </c>
      <c r="E11">
        <v>1.4</v>
      </c>
      <c r="F11">
        <v>13.5</v>
      </c>
      <c r="H11">
        <v>2015</v>
      </c>
      <c r="I11" t="s">
        <v>0</v>
      </c>
      <c r="J11">
        <f t="shared" si="3"/>
        <v>2.9</v>
      </c>
      <c r="K11">
        <f t="shared" si="1"/>
        <v>25.4</v>
      </c>
      <c r="M11">
        <v>7</v>
      </c>
      <c r="N11">
        <v>2019</v>
      </c>
      <c r="O11">
        <f t="shared" si="0"/>
        <v>13.5</v>
      </c>
      <c r="P11">
        <f t="shared" si="2"/>
        <v>110.39999999999999</v>
      </c>
    </row>
    <row r="12" spans="1:16" x14ac:dyDescent="0.4">
      <c r="A12" s="3">
        <v>2020</v>
      </c>
      <c r="B12">
        <v>1.9</v>
      </c>
      <c r="C12">
        <v>1.5</v>
      </c>
      <c r="D12">
        <v>1.4</v>
      </c>
      <c r="E12">
        <v>1</v>
      </c>
      <c r="F12">
        <v>5.7</v>
      </c>
      <c r="H12">
        <v>2015</v>
      </c>
      <c r="I12" t="s">
        <v>1</v>
      </c>
      <c r="J12">
        <f t="shared" si="3"/>
        <v>4</v>
      </c>
      <c r="K12">
        <f t="shared" si="1"/>
        <v>29.4</v>
      </c>
      <c r="M12">
        <v>8</v>
      </c>
      <c r="N12">
        <v>2020</v>
      </c>
      <c r="O12">
        <f t="shared" si="0"/>
        <v>5.7</v>
      </c>
      <c r="P12">
        <f t="shared" si="2"/>
        <v>116.1</v>
      </c>
    </row>
    <row r="13" spans="1:16" x14ac:dyDescent="0.4">
      <c r="A13" s="4">
        <v>2021</v>
      </c>
      <c r="B13">
        <v>0.5</v>
      </c>
      <c r="C13">
        <v>0.2</v>
      </c>
      <c r="D13">
        <v>0.2</v>
      </c>
      <c r="E13">
        <v>0.1</v>
      </c>
      <c r="F13">
        <v>1</v>
      </c>
      <c r="H13">
        <v>2015</v>
      </c>
      <c r="I13" t="s">
        <v>2</v>
      </c>
      <c r="J13">
        <f>INDEX($B$5:$E$13,MATCH(H13,$A$5:$A$13,0),MATCH(I13,$B$4:$E$4,0))</f>
        <v>8.4</v>
      </c>
      <c r="K13">
        <f t="shared" si="1"/>
        <v>37.799999999999997</v>
      </c>
      <c r="M13">
        <v>9</v>
      </c>
      <c r="N13">
        <v>2021</v>
      </c>
      <c r="O13">
        <f t="shared" si="0"/>
        <v>1</v>
      </c>
      <c r="P13">
        <f t="shared" si="2"/>
        <v>117.1</v>
      </c>
    </row>
    <row r="14" spans="1:16" x14ac:dyDescent="0.4">
      <c r="H14">
        <v>2015</v>
      </c>
      <c r="I14" t="s">
        <v>3</v>
      </c>
      <c r="J14">
        <f t="shared" si="3"/>
        <v>2.4</v>
      </c>
      <c r="K14">
        <f t="shared" si="1"/>
        <v>40.199999999999996</v>
      </c>
    </row>
    <row r="15" spans="1:16" x14ac:dyDescent="0.4">
      <c r="H15">
        <v>2016</v>
      </c>
      <c r="I15" t="s">
        <v>0</v>
      </c>
      <c r="J15">
        <f t="shared" si="3"/>
        <v>3.5</v>
      </c>
      <c r="K15">
        <f t="shared" si="1"/>
        <v>43.699999999999996</v>
      </c>
    </row>
    <row r="16" spans="1:16" x14ac:dyDescent="0.4">
      <c r="H16">
        <v>2016</v>
      </c>
      <c r="I16" t="s">
        <v>1</v>
      </c>
      <c r="J16">
        <f t="shared" si="3"/>
        <v>3.9</v>
      </c>
      <c r="K16">
        <f t="shared" si="1"/>
        <v>47.599999999999994</v>
      </c>
    </row>
    <row r="17" spans="8:11" x14ac:dyDescent="0.4">
      <c r="H17">
        <v>2016</v>
      </c>
      <c r="I17" t="s">
        <v>2</v>
      </c>
      <c r="J17">
        <f t="shared" si="3"/>
        <v>9.6999999999999993</v>
      </c>
      <c r="K17">
        <f t="shared" si="1"/>
        <v>57.3</v>
      </c>
    </row>
    <row r="18" spans="8:11" x14ac:dyDescent="0.4">
      <c r="H18">
        <v>2016</v>
      </c>
      <c r="I18" t="s">
        <v>3</v>
      </c>
      <c r="J18">
        <f t="shared" si="3"/>
        <v>2.9</v>
      </c>
      <c r="K18">
        <f t="shared" si="1"/>
        <v>60.199999999999996</v>
      </c>
    </row>
    <row r="19" spans="8:11" x14ac:dyDescent="0.4">
      <c r="H19">
        <v>2017</v>
      </c>
      <c r="I19" t="s">
        <v>0</v>
      </c>
      <c r="J19">
        <f t="shared" si="3"/>
        <v>3.3</v>
      </c>
      <c r="K19">
        <f t="shared" si="1"/>
        <v>63.499999999999993</v>
      </c>
    </row>
    <row r="20" spans="8:11" x14ac:dyDescent="0.4">
      <c r="H20">
        <v>2017</v>
      </c>
      <c r="I20" t="s">
        <v>1</v>
      </c>
      <c r="J20">
        <f t="shared" si="3"/>
        <v>4.2</v>
      </c>
      <c r="K20">
        <f t="shared" si="1"/>
        <v>67.699999999999989</v>
      </c>
    </row>
    <row r="21" spans="8:11" x14ac:dyDescent="0.4">
      <c r="H21">
        <v>2017</v>
      </c>
      <c r="I21" t="s">
        <v>2</v>
      </c>
      <c r="J21">
        <f t="shared" si="3"/>
        <v>9</v>
      </c>
      <c r="K21">
        <f t="shared" si="1"/>
        <v>76.699999999999989</v>
      </c>
    </row>
    <row r="22" spans="8:11" x14ac:dyDescent="0.4">
      <c r="H22">
        <v>2017</v>
      </c>
      <c r="I22" t="s">
        <v>3</v>
      </c>
      <c r="J22">
        <f t="shared" si="3"/>
        <v>2.5</v>
      </c>
      <c r="K22">
        <f t="shared" si="1"/>
        <v>79.199999999999989</v>
      </c>
    </row>
    <row r="23" spans="8:11" x14ac:dyDescent="0.4">
      <c r="H23">
        <v>2018</v>
      </c>
      <c r="I23" t="s">
        <v>0</v>
      </c>
      <c r="J23">
        <f t="shared" si="3"/>
        <v>3.2</v>
      </c>
      <c r="K23">
        <f t="shared" si="1"/>
        <v>82.399999999999991</v>
      </c>
    </row>
    <row r="24" spans="8:11" x14ac:dyDescent="0.4">
      <c r="H24">
        <v>2018</v>
      </c>
      <c r="I24" t="s">
        <v>1</v>
      </c>
      <c r="J24">
        <f t="shared" si="3"/>
        <v>3.9</v>
      </c>
      <c r="K24">
        <f t="shared" si="1"/>
        <v>86.3</v>
      </c>
    </row>
    <row r="25" spans="8:11" x14ac:dyDescent="0.4">
      <c r="H25">
        <v>2018</v>
      </c>
      <c r="I25" t="s">
        <v>2</v>
      </c>
      <c r="J25">
        <f t="shared" si="3"/>
        <v>8.1</v>
      </c>
      <c r="K25">
        <f t="shared" si="1"/>
        <v>94.399999999999991</v>
      </c>
    </row>
    <row r="26" spans="8:11" x14ac:dyDescent="0.4">
      <c r="H26">
        <v>2018</v>
      </c>
      <c r="I26" t="s">
        <v>3</v>
      </c>
      <c r="J26">
        <f t="shared" si="3"/>
        <v>2.6</v>
      </c>
      <c r="K26">
        <f t="shared" si="1"/>
        <v>96.999999999999986</v>
      </c>
    </row>
    <row r="27" spans="8:11" x14ac:dyDescent="0.4">
      <c r="H27">
        <v>2019</v>
      </c>
      <c r="I27" t="s">
        <v>0</v>
      </c>
      <c r="J27">
        <f t="shared" si="3"/>
        <v>3.2</v>
      </c>
      <c r="K27">
        <f t="shared" si="1"/>
        <v>100.19999999999999</v>
      </c>
    </row>
    <row r="28" spans="8:11" x14ac:dyDescent="0.4">
      <c r="H28">
        <v>2019</v>
      </c>
      <c r="I28" t="s">
        <v>1</v>
      </c>
      <c r="J28">
        <f t="shared" si="3"/>
        <v>2.8</v>
      </c>
      <c r="K28">
        <f t="shared" si="1"/>
        <v>102.99999999999999</v>
      </c>
    </row>
    <row r="29" spans="8:11" x14ac:dyDescent="0.4">
      <c r="H29">
        <v>2019</v>
      </c>
      <c r="I29" t="s">
        <v>2</v>
      </c>
      <c r="J29">
        <f t="shared" si="3"/>
        <v>6</v>
      </c>
      <c r="K29">
        <f t="shared" si="1"/>
        <v>108.99999999999999</v>
      </c>
    </row>
    <row r="30" spans="8:11" x14ac:dyDescent="0.4">
      <c r="H30">
        <v>2019</v>
      </c>
      <c r="I30" t="s">
        <v>3</v>
      </c>
      <c r="J30">
        <f t="shared" si="3"/>
        <v>1.4</v>
      </c>
      <c r="K30">
        <f t="shared" si="1"/>
        <v>110.39999999999999</v>
      </c>
    </row>
    <row r="31" spans="8:11" x14ac:dyDescent="0.4">
      <c r="H31">
        <v>2020</v>
      </c>
      <c r="I31" t="s">
        <v>0</v>
      </c>
      <c r="J31">
        <f t="shared" si="3"/>
        <v>1.9</v>
      </c>
      <c r="K31">
        <f t="shared" si="1"/>
        <v>112.3</v>
      </c>
    </row>
    <row r="32" spans="8:11" x14ac:dyDescent="0.4">
      <c r="H32">
        <v>2020</v>
      </c>
      <c r="I32" t="s">
        <v>1</v>
      </c>
      <c r="J32">
        <f t="shared" si="3"/>
        <v>1.5</v>
      </c>
      <c r="K32">
        <f t="shared" si="1"/>
        <v>113.8</v>
      </c>
    </row>
    <row r="33" spans="8:11" x14ac:dyDescent="0.4">
      <c r="H33">
        <v>2020</v>
      </c>
      <c r="I33" t="s">
        <v>2</v>
      </c>
      <c r="J33">
        <f t="shared" si="3"/>
        <v>1.4</v>
      </c>
      <c r="K33">
        <f t="shared" si="1"/>
        <v>115.2</v>
      </c>
    </row>
    <row r="34" spans="8:11" x14ac:dyDescent="0.4">
      <c r="H34">
        <v>2020</v>
      </c>
      <c r="I34" t="s">
        <v>3</v>
      </c>
      <c r="J34">
        <f t="shared" si="3"/>
        <v>1</v>
      </c>
      <c r="K34">
        <f t="shared" si="1"/>
        <v>116.2</v>
      </c>
    </row>
    <row r="35" spans="8:11" x14ac:dyDescent="0.4">
      <c r="H35">
        <v>2021</v>
      </c>
      <c r="I35" t="s">
        <v>0</v>
      </c>
      <c r="J35">
        <f t="shared" si="3"/>
        <v>0.5</v>
      </c>
      <c r="K35">
        <f t="shared" si="1"/>
        <v>116.7</v>
      </c>
    </row>
    <row r="36" spans="8:11" x14ac:dyDescent="0.4">
      <c r="H36">
        <v>2021</v>
      </c>
      <c r="I36" t="s">
        <v>1</v>
      </c>
      <c r="J36">
        <f t="shared" si="3"/>
        <v>0.2</v>
      </c>
      <c r="K36">
        <f t="shared" si="1"/>
        <v>116.9</v>
      </c>
    </row>
    <row r="37" spans="8:11" x14ac:dyDescent="0.4">
      <c r="H37">
        <v>2021</v>
      </c>
      <c r="I37" t="s">
        <v>2</v>
      </c>
      <c r="J37">
        <f t="shared" si="3"/>
        <v>0.2</v>
      </c>
      <c r="K37">
        <f t="shared" si="1"/>
        <v>117.10000000000001</v>
      </c>
    </row>
    <row r="38" spans="8:11" x14ac:dyDescent="0.4">
      <c r="H38">
        <v>2021</v>
      </c>
      <c r="I38" t="s">
        <v>3</v>
      </c>
      <c r="J38">
        <f t="shared" si="3"/>
        <v>0.1</v>
      </c>
      <c r="K38">
        <f t="shared" si="1"/>
        <v>117.2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E70B-45C0-40DD-9527-E9879EF4996D}">
  <dimension ref="C3:X23"/>
  <sheetViews>
    <sheetView workbookViewId="0">
      <selection activeCell="P4" sqref="P4"/>
    </sheetView>
  </sheetViews>
  <sheetFormatPr defaultRowHeight="14.6" x14ac:dyDescent="0.4"/>
  <cols>
    <col min="15" max="15" width="13" customWidth="1"/>
    <col min="16" max="16" width="10" bestFit="1" customWidth="1"/>
  </cols>
  <sheetData>
    <row r="3" spans="3:24" x14ac:dyDescent="0.4">
      <c r="T3" t="s">
        <v>15</v>
      </c>
      <c r="U3" t="s">
        <v>7</v>
      </c>
      <c r="V3" t="s">
        <v>4</v>
      </c>
    </row>
    <row r="4" spans="3:24" x14ac:dyDescent="0.4">
      <c r="D4" t="s">
        <v>0</v>
      </c>
      <c r="E4" t="s">
        <v>1</v>
      </c>
      <c r="F4" t="s">
        <v>2</v>
      </c>
      <c r="G4" t="s">
        <v>3</v>
      </c>
      <c r="H4" t="s">
        <v>9</v>
      </c>
      <c r="M4" t="s">
        <v>13</v>
      </c>
      <c r="N4" t="s">
        <v>14</v>
      </c>
      <c r="O4" t="s">
        <v>11</v>
      </c>
      <c r="P4" t="s">
        <v>5</v>
      </c>
      <c r="T4">
        <v>2020</v>
      </c>
      <c r="U4">
        <f>H5</f>
        <v>7.8</v>
      </c>
      <c r="V4">
        <f>U4</f>
        <v>7.8</v>
      </c>
    </row>
    <row r="5" spans="3:24" x14ac:dyDescent="0.4">
      <c r="C5">
        <v>2020</v>
      </c>
      <c r="D5" t="s">
        <v>10</v>
      </c>
      <c r="E5" t="s">
        <v>10</v>
      </c>
      <c r="F5">
        <v>4.5</v>
      </c>
      <c r="G5">
        <v>3.3</v>
      </c>
      <c r="H5">
        <v>7.8</v>
      </c>
      <c r="L5" t="str">
        <f>CONCATENATE(M5,N5)</f>
        <v>2020Q3</v>
      </c>
      <c r="M5">
        <v>2020</v>
      </c>
      <c r="N5" t="s">
        <v>2</v>
      </c>
      <c r="O5">
        <f>F5</f>
        <v>4.5</v>
      </c>
      <c r="P5">
        <f>O5</f>
        <v>4.5</v>
      </c>
      <c r="T5">
        <v>2021</v>
      </c>
      <c r="U5">
        <f t="shared" ref="U5:U9" si="0">H6</f>
        <v>11.5</v>
      </c>
      <c r="V5">
        <f>U5+V4</f>
        <v>19.3</v>
      </c>
    </row>
    <row r="6" spans="3:24" x14ac:dyDescent="0.4">
      <c r="C6">
        <v>2021</v>
      </c>
      <c r="D6">
        <v>2.2999999999999998</v>
      </c>
      <c r="E6">
        <v>3.3</v>
      </c>
      <c r="F6">
        <v>3.9</v>
      </c>
      <c r="G6">
        <v>2</v>
      </c>
      <c r="H6">
        <v>11.5</v>
      </c>
      <c r="L6" t="str">
        <f t="shared" ref="L6:L23" si="1">CONCATENATE(M6,N6)</f>
        <v>2020Q4</v>
      </c>
      <c r="M6">
        <v>2020</v>
      </c>
      <c r="N6" t="s">
        <v>3</v>
      </c>
      <c r="O6">
        <f>G5</f>
        <v>3.3</v>
      </c>
      <c r="P6">
        <f>O6+P5</f>
        <v>7.8</v>
      </c>
      <c r="T6">
        <v>2022</v>
      </c>
      <c r="U6">
        <f t="shared" si="0"/>
        <v>19.100000000000001</v>
      </c>
      <c r="V6">
        <f t="shared" ref="V6:V9" si="2">U6+V5</f>
        <v>38.400000000000006</v>
      </c>
    </row>
    <row r="7" spans="3:24" x14ac:dyDescent="0.4">
      <c r="C7">
        <v>2022</v>
      </c>
      <c r="D7">
        <v>2.4</v>
      </c>
      <c r="E7">
        <v>3.3</v>
      </c>
      <c r="F7">
        <v>7.1</v>
      </c>
      <c r="G7">
        <v>6.3</v>
      </c>
      <c r="H7">
        <v>19.100000000000001</v>
      </c>
      <c r="L7" t="str">
        <f t="shared" si="1"/>
        <v>2021Q1</v>
      </c>
      <c r="M7">
        <v>2021</v>
      </c>
      <c r="N7" t="s">
        <v>0</v>
      </c>
      <c r="O7">
        <f>INDEX($D$5:$H$10,MATCH(M7,$C$5:$C$10,0),MATCH(N7,$D$4:$G$4,0))</f>
        <v>2.2999999999999998</v>
      </c>
      <c r="P7">
        <f t="shared" ref="P7:P23" si="3">O7+P6</f>
        <v>10.1</v>
      </c>
      <c r="T7">
        <v>2023</v>
      </c>
      <c r="U7">
        <f t="shared" si="0"/>
        <v>20.9</v>
      </c>
      <c r="V7">
        <f t="shared" si="2"/>
        <v>59.300000000000004</v>
      </c>
    </row>
    <row r="8" spans="3:24" x14ac:dyDescent="0.4">
      <c r="C8">
        <v>2023</v>
      </c>
      <c r="D8">
        <v>3.3</v>
      </c>
      <c r="E8">
        <v>4.9000000000000004</v>
      </c>
      <c r="F8">
        <v>8.1999999999999993</v>
      </c>
      <c r="G8">
        <v>4.5</v>
      </c>
      <c r="H8">
        <v>20.9</v>
      </c>
      <c r="L8" t="str">
        <f t="shared" si="1"/>
        <v>2021Q2</v>
      </c>
      <c r="M8">
        <v>2021</v>
      </c>
      <c r="N8" t="s">
        <v>1</v>
      </c>
      <c r="O8">
        <f t="shared" ref="O8:O23" si="4">INDEX($D$5:$H$10,MATCH(M8,$C$5:$C$10,0),MATCH(N8,$D$4:$G$4,0))</f>
        <v>3.3</v>
      </c>
      <c r="P8">
        <f t="shared" si="3"/>
        <v>13.399999999999999</v>
      </c>
      <c r="T8">
        <v>2024</v>
      </c>
      <c r="U8">
        <f t="shared" si="0"/>
        <v>18.5</v>
      </c>
      <c r="V8">
        <f t="shared" si="2"/>
        <v>77.800000000000011</v>
      </c>
    </row>
    <row r="9" spans="3:24" x14ac:dyDescent="0.4">
      <c r="C9">
        <v>2024</v>
      </c>
      <c r="D9">
        <v>2.4</v>
      </c>
      <c r="E9">
        <v>3.8</v>
      </c>
      <c r="F9">
        <v>9.5</v>
      </c>
      <c r="G9">
        <v>2.8</v>
      </c>
      <c r="H9">
        <v>18.5</v>
      </c>
      <c r="L9" t="str">
        <f t="shared" si="1"/>
        <v>2021Q3</v>
      </c>
      <c r="M9">
        <v>2021</v>
      </c>
      <c r="N9" t="s">
        <v>2</v>
      </c>
      <c r="O9">
        <f t="shared" si="4"/>
        <v>3.9</v>
      </c>
      <c r="P9">
        <f t="shared" si="3"/>
        <v>17.299999999999997</v>
      </c>
      <c r="T9">
        <v>2025</v>
      </c>
      <c r="U9">
        <f t="shared" si="0"/>
        <v>0</v>
      </c>
      <c r="V9">
        <f t="shared" si="2"/>
        <v>77.800000000000011</v>
      </c>
      <c r="X9" t="s">
        <v>12</v>
      </c>
    </row>
    <row r="10" spans="3:24" x14ac:dyDescent="0.4">
      <c r="C10">
        <v>2025</v>
      </c>
      <c r="D10">
        <v>2.5</v>
      </c>
      <c r="L10" t="str">
        <f t="shared" si="1"/>
        <v>2021Q4</v>
      </c>
      <c r="M10">
        <v>2021</v>
      </c>
      <c r="N10" t="s">
        <v>3</v>
      </c>
      <c r="O10">
        <f t="shared" si="4"/>
        <v>2</v>
      </c>
      <c r="P10">
        <f t="shared" si="3"/>
        <v>19.299999999999997</v>
      </c>
    </row>
    <row r="11" spans="3:24" x14ac:dyDescent="0.4">
      <c r="L11" t="str">
        <f t="shared" si="1"/>
        <v>2022Q1</v>
      </c>
      <c r="M11">
        <v>2022</v>
      </c>
      <c r="N11" t="s">
        <v>0</v>
      </c>
      <c r="O11">
        <f t="shared" si="4"/>
        <v>2.4</v>
      </c>
      <c r="P11">
        <f t="shared" si="3"/>
        <v>21.699999999999996</v>
      </c>
    </row>
    <row r="12" spans="3:24" x14ac:dyDescent="0.4">
      <c r="L12" t="str">
        <f t="shared" si="1"/>
        <v>2022Q2</v>
      </c>
      <c r="M12">
        <v>2022</v>
      </c>
      <c r="N12" t="s">
        <v>1</v>
      </c>
      <c r="O12">
        <f t="shared" si="4"/>
        <v>3.3</v>
      </c>
      <c r="P12">
        <f t="shared" si="3"/>
        <v>24.999999999999996</v>
      </c>
    </row>
    <row r="13" spans="3:24" x14ac:dyDescent="0.4">
      <c r="L13" t="str">
        <f t="shared" si="1"/>
        <v>2022Q3</v>
      </c>
      <c r="M13">
        <v>2022</v>
      </c>
      <c r="N13" t="s">
        <v>2</v>
      </c>
      <c r="O13">
        <f t="shared" si="4"/>
        <v>7.1</v>
      </c>
      <c r="P13">
        <f t="shared" si="3"/>
        <v>32.099999999999994</v>
      </c>
    </row>
    <row r="14" spans="3:24" x14ac:dyDescent="0.4">
      <c r="L14" t="str">
        <f t="shared" si="1"/>
        <v>2022Q4</v>
      </c>
      <c r="M14">
        <v>2022</v>
      </c>
      <c r="N14" t="s">
        <v>3</v>
      </c>
      <c r="O14">
        <f t="shared" si="4"/>
        <v>6.3</v>
      </c>
      <c r="P14">
        <f t="shared" si="3"/>
        <v>38.399999999999991</v>
      </c>
    </row>
    <row r="15" spans="3:24" x14ac:dyDescent="0.4">
      <c r="L15" t="str">
        <f t="shared" si="1"/>
        <v>2023Q1</v>
      </c>
      <c r="M15">
        <v>2023</v>
      </c>
      <c r="N15" t="s">
        <v>0</v>
      </c>
      <c r="O15">
        <f t="shared" si="4"/>
        <v>3.3</v>
      </c>
      <c r="P15">
        <f t="shared" si="3"/>
        <v>41.699999999999989</v>
      </c>
    </row>
    <row r="16" spans="3:24" x14ac:dyDescent="0.4">
      <c r="L16" t="str">
        <f t="shared" si="1"/>
        <v>2023Q2</v>
      </c>
      <c r="M16">
        <v>2023</v>
      </c>
      <c r="N16" t="s">
        <v>1</v>
      </c>
      <c r="O16">
        <f t="shared" si="4"/>
        <v>4.9000000000000004</v>
      </c>
      <c r="P16">
        <f t="shared" si="3"/>
        <v>46.599999999999987</v>
      </c>
    </row>
    <row r="17" spans="12:16" x14ac:dyDescent="0.4">
      <c r="L17" t="str">
        <f t="shared" si="1"/>
        <v>2023Q3</v>
      </c>
      <c r="M17">
        <v>2023</v>
      </c>
      <c r="N17" t="s">
        <v>2</v>
      </c>
      <c r="O17">
        <f t="shared" si="4"/>
        <v>8.1999999999999993</v>
      </c>
      <c r="P17">
        <f t="shared" si="3"/>
        <v>54.799999999999983</v>
      </c>
    </row>
    <row r="18" spans="12:16" x14ac:dyDescent="0.4">
      <c r="L18" t="str">
        <f t="shared" si="1"/>
        <v>2023Q4</v>
      </c>
      <c r="M18">
        <v>2023</v>
      </c>
      <c r="N18" t="s">
        <v>3</v>
      </c>
      <c r="O18">
        <f t="shared" si="4"/>
        <v>4.5</v>
      </c>
      <c r="P18">
        <f t="shared" si="3"/>
        <v>59.299999999999983</v>
      </c>
    </row>
    <row r="19" spans="12:16" x14ac:dyDescent="0.4">
      <c r="L19" t="str">
        <f t="shared" si="1"/>
        <v>2024Q1</v>
      </c>
      <c r="M19">
        <v>2024</v>
      </c>
      <c r="N19" t="s">
        <v>0</v>
      </c>
      <c r="O19">
        <f t="shared" si="4"/>
        <v>2.4</v>
      </c>
      <c r="P19">
        <f t="shared" si="3"/>
        <v>61.699999999999982</v>
      </c>
    </row>
    <row r="20" spans="12:16" x14ac:dyDescent="0.4">
      <c r="L20" t="str">
        <f t="shared" si="1"/>
        <v>2024Q2</v>
      </c>
      <c r="M20">
        <v>2024</v>
      </c>
      <c r="N20" t="s">
        <v>1</v>
      </c>
      <c r="O20">
        <f t="shared" si="4"/>
        <v>3.8</v>
      </c>
      <c r="P20">
        <f t="shared" si="3"/>
        <v>65.499999999999986</v>
      </c>
    </row>
    <row r="21" spans="12:16" x14ac:dyDescent="0.4">
      <c r="L21" t="str">
        <f t="shared" si="1"/>
        <v>2024Q3</v>
      </c>
      <c r="M21">
        <v>2024</v>
      </c>
      <c r="N21" t="s">
        <v>2</v>
      </c>
      <c r="O21">
        <f t="shared" si="4"/>
        <v>9.5</v>
      </c>
      <c r="P21">
        <f t="shared" si="3"/>
        <v>74.999999999999986</v>
      </c>
    </row>
    <row r="22" spans="12:16" x14ac:dyDescent="0.4">
      <c r="L22" t="str">
        <f t="shared" si="1"/>
        <v>2024Q4</v>
      </c>
      <c r="M22">
        <v>2024</v>
      </c>
      <c r="N22" t="s">
        <v>3</v>
      </c>
      <c r="O22">
        <f t="shared" si="4"/>
        <v>2.8</v>
      </c>
      <c r="P22">
        <f t="shared" si="3"/>
        <v>77.799999999999983</v>
      </c>
    </row>
    <row r="23" spans="12:16" x14ac:dyDescent="0.4">
      <c r="L23" t="str">
        <f t="shared" si="1"/>
        <v>2025Q1</v>
      </c>
      <c r="M23">
        <v>2025</v>
      </c>
      <c r="N23" t="s">
        <v>0</v>
      </c>
      <c r="O23">
        <f t="shared" si="4"/>
        <v>2.5</v>
      </c>
      <c r="P23">
        <f t="shared" si="3"/>
        <v>80.299999999999983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PS1 Sales</vt:lpstr>
      <vt:lpstr>PS2 Sales</vt:lpstr>
      <vt:lpstr>PS3 Sales</vt:lpstr>
      <vt:lpstr>PS4 Sales</vt:lpstr>
      <vt:lpstr>PS5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Tegene</dc:creator>
  <cp:lastModifiedBy>Gideon Tegene</cp:lastModifiedBy>
  <dcterms:created xsi:type="dcterms:W3CDTF">2025-10-06T18:49:49Z</dcterms:created>
  <dcterms:modified xsi:type="dcterms:W3CDTF">2025-10-09T14:28:15Z</dcterms:modified>
</cp:coreProperties>
</file>